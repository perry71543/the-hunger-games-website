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7d6d0097b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影片總覽" sheetId="1" r:id="R331129af5eaf49ca"/>
    <x:sheet xmlns:r="http://schemas.openxmlformats.org/officeDocument/2006/relationships" name="外掛速查" sheetId="2" r:id="Ra3cdb545be644e3d"/>
    <x:sheet xmlns:r="http://schemas.openxmlformats.org/officeDocument/2006/relationships" name="時間碼筆記" sheetId="3" r:id="R045f199731364ca1"/>
    <x:sheet xmlns:r="http://schemas.openxmlformats.org/officeDocument/2006/relationships" name="行動清單" sheetId="4" r:id="R43d4dddae385449b"/>
    <x:sheet xmlns:r="http://schemas.openxmlformats.org/officeDocument/2006/relationships" name="提示詞模板" sheetId="5" r:id="R1ff2c93714ba4e02"/>
    <x:sheet xmlns:r="http://schemas.openxmlformats.org/officeDocument/2006/relationships" name="校正與來源" sheetId="6" r:id="R353301d58776400f"/>
    <x:sheet xmlns:r="http://schemas.openxmlformats.org/officeDocument/2006/relationships" name="分類統計" sheetId="7" r:id="R24e5f0ee582e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4"/>
      <x:color rgb="FF1F2937"/>
      <x:name val="Carlito"/>
    </x:font>
    <x:font>
      <x:b/>
      <x:sz val="11"/>
      <x:color rgb="FFB45309"/>
      <x:name val="Carlito"/>
    </x:font>
    <x:font>
      <x:sz val="10"/>
      <x:color rgb="FF1F2937"/>
      <x:name val="Carlito"/>
    </x:font>
    <x:font>
      <x:i/>
      <x:sz val="11"/>
      <x:color rgb="FF1F2937"/>
      <x:name val="Carlito"/>
    </x:font>
    <x:font>
      <x:b/>
      <x:sz val="16"/>
      <x:color rgb="FF1F2937"/>
      <x:name val="Aptos"/>
    </x:font>
    <x:font>
      <x:sz val="11"/>
      <x:color rgb="FF1F2937"/>
      <x:name val="Aptos"/>
    </x:font>
    <x:font>
      <x:b/>
      <x:sz val="11"/>
      <x:color rgb="FF1F2937"/>
      <x:name val="Aptos"/>
    </x:font>
    <x:font>
      <x:b/>
      <x:sz val="14"/>
      <x:color rgb="FF1F2937"/>
      <x:name val="Aptos"/>
    </x:font>
    <x:font>
      <x:sz val="10"/>
      <x:color rgb="FF1F2937"/>
      <x:name val="Aptos"/>
    </x:font>
    <x:font>
      <x:i/>
      <x:sz val="11"/>
      <x:color rgb="FF1F2937"/>
      <x:name val="Aptos"/>
    </x:font>
    <x:font>
      <x:b/>
      <x:sz val="16"/>
      <x:color rgb="FFFFFFFF"/>
      <x:name val="Aptos"/>
    </x:font>
    <x:font>
      <x:b/>
      <x:sz val="11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CCFBF1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  <x:fill>
      <x:patternFill patternType="solid">
        <x:fgColor rgb="FFB45309"/>
      </x:patternFill>
    </x:fill>
    <x:fill>
      <x:patternFill patternType="solid">
        <x:fgColor rgb="FFBE123C"/>
      </x:patternFill>
    </x:fill>
  </x:fills>
  <x:borders count="14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EF2F7"/>
      </x:right>
      <x:top style="thin">
        <x:color rgb="FFD1D5D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D1D5DB"/>
      </x:top>
      <x:bottom style="thin">
        <x:color rgb="FFE5E7EB"/>
      </x:bottom>
    </x:border>
    <x:border>
      <x:left style="thin">
        <x:color rgb="FFEEF2F7"/>
      </x:left>
      <x:top style="thin">
        <x:color rgb="FFD1D5D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D1D5D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D1D5DB"/>
      </x:bottom>
    </x:border>
    <x:border>
      <x:left style="thin">
        <x:color rgb="FFEEF2F7"/>
      </x:lef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0" fontId="7" fillId="0" borderId="8" xfId="0" applyNumberFormat="1" applyFont="1" applyFill="1" applyBorder="1" applyAlignment="1">
      <x:alignment horizontal="center" vertical="top" wrapText="1"/>
    </x:xf>
    <x:xf numFmtId="0" fontId="7" fillId="0" borderId="11" xfId="0" applyNumberFormat="1" applyFont="1" applyFill="1" applyBorder="1" applyAlignment="1">
      <x:alignment horizontal="center" vertical="top" wrapText="1"/>
    </x:xf>
    <x:xf numFmtId="0" fontId="7" fillId="0" borderId="7" xfId="0" applyNumberFormat="1" applyFont="1" applyFill="1" applyBorder="1" applyAlignment="1">
      <x:alignment horizontal="center" vertical="top" wrapText="1"/>
    </x:xf>
    <x:xf numFmtId="0" fontId="7" fillId="0" borderId="10" xfId="0" applyNumberFormat="1" applyFont="1" applyFill="1" applyBorder="1" applyAlignment="1">
      <x:alignment horizontal="center" vertical="top" wrapText="1"/>
    </x:xf>
    <x:xf numFmtId="0" fontId="7" fillId="0" borderId="13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4" fillId="8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2" xfId="0" applyNumberFormat="1" applyFont="1" applyFill="1" applyBorder="1" applyAlignment="1">
      <x:alignment horizontal="center" vertical="center" wrapText="1"/>
    </x:xf>
    <x:xf numFmtId="0" fontId="4" fillId="9" borderId="4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1" fillId="3" borderId="1" xfId="0" applyNumberFormat="1" applyFont="1" applyFill="1" applyBorder="1" applyAlignment="1">
      <x:alignment vertical="top"/>
    </x:xf>
    <x:xf numFmtId="0" fontId="10" fillId="0" borderId="1" xfId="0" applyNumberFormat="1" applyFont="1" applyFill="1" applyBorder="1" applyAlignment="1">
      <x:alignment vertical="top" wrapText="1"/>
    </x:xf>
    <x:xf numFmtId="0" fontId="11" fillId="2" borderId="2" xfId="0" applyNumberFormat="1" applyFont="1" applyFill="1" applyBorder="1" applyAlignment="1">
      <x:alignment horizontal="center" vertical="center" wrapText="1"/>
    </x:xf>
    <x:xf numFmtId="0" fontId="11" fillId="2" borderId="3" xfId="0" applyNumberFormat="1" applyFont="1" applyFill="1" applyBorder="1" applyAlignment="1">
      <x:alignment horizontal="center" vertical="center" wrapText="1"/>
    </x:xf>
    <x:xf numFmtId="0" fontId="11" fillId="2" borderId="4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vertical="top" wrapText="1"/>
    </x:xf>
    <x:xf numFmtId="0" fontId="12" fillId="5" borderId="1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vertical="top" wrapText="1"/>
    </x:xf>
    <x:xf numFmtId="0" fontId="11" fillId="7" borderId="2" xfId="0" applyNumberFormat="1" applyFont="1" applyFill="1" applyBorder="1" applyAlignment="1">
      <x:alignment horizontal="center" vertical="center" wrapText="1"/>
    </x:xf>
    <x:xf numFmtId="0" fontId="11" fillId="7" borderId="3" xfId="0" applyNumberFormat="1" applyFont="1" applyFill="1" applyBorder="1" applyAlignment="1">
      <x:alignment horizontal="center" vertical="center" wrapText="1"/>
    </x:xf>
    <x:xf numFmtId="0" fontId="11" fillId="7" borderId="4" xfId="0" applyNumberFormat="1" applyFont="1" applyFill="1" applyBorder="1" applyAlignment="1">
      <x:alignment horizontal="center" vertical="center" wrapText="1"/>
    </x:xf>
    <x:xf numFmtId="0" fontId="13" fillId="0" borderId="5" xfId="0" applyNumberFormat="1" applyFont="1" applyFill="1" applyBorder="1" applyAlignment="1">
      <x:alignment horizontal="center" vertical="top" wrapText="1"/>
    </x:xf>
    <x:xf numFmtId="0" fontId="13" fillId="0" borderId="6" xfId="0" applyNumberFormat="1" applyFont="1" applyFill="1" applyBorder="1" applyAlignment="1">
      <x:alignment vertical="top" wrapText="1"/>
    </x:xf>
    <x:xf numFmtId="0" fontId="13" fillId="0" borderId="7" xfId="0" applyNumberFormat="1" applyFont="1" applyFill="1" applyBorder="1" applyAlignment="1">
      <x:alignment horizontal="center" vertical="top" wrapText="1"/>
    </x:xf>
    <x:xf numFmtId="0" fontId="13" fillId="0" borderId="8" xfId="0" applyNumberFormat="1" applyFont="1" applyFill="1" applyBorder="1" applyAlignment="1">
      <x:alignment horizontal="center" vertical="top" wrapText="1"/>
    </x:xf>
    <x:xf numFmtId="0" fontId="13" fillId="0" borderId="9" xfId="0" applyNumberFormat="1" applyFont="1" applyFill="1" applyBorder="1" applyAlignment="1">
      <x:alignment vertical="top" wrapText="1"/>
    </x:xf>
    <x:xf numFmtId="0" fontId="13" fillId="0" borderId="10" xfId="0" applyNumberFormat="1" applyFont="1" applyFill="1" applyBorder="1" applyAlignment="1">
      <x:alignment horizontal="center" vertical="top" wrapText="1"/>
    </x:xf>
    <x:xf numFmtId="0" fontId="13" fillId="0" borderId="11" xfId="0" applyNumberFormat="1" applyFont="1" applyFill="1" applyBorder="1" applyAlignment="1">
      <x:alignment horizontal="center" vertical="top" wrapText="1"/>
    </x:xf>
    <x:xf numFmtId="0" fontId="13" fillId="0" borderId="12" xfId="0" applyNumberFormat="1" applyFont="1" applyFill="1" applyBorder="1" applyAlignment="1">
      <x:alignment vertical="top" wrapText="1"/>
    </x:xf>
    <x:xf numFmtId="0" fontId="13" fillId="0" borderId="13" xfId="0" applyNumberFormat="1" applyFont="1" applyFill="1" applyBorder="1" applyAlignment="1">
      <x:alignment horizontal="center"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7" xfId="0" applyNumberFormat="1" applyFont="1" applyFill="1" applyBorder="1" applyAlignment="1">
      <x:alignment vertical="top" wrapText="1"/>
    </x:xf>
    <x:xf numFmtId="0" fontId="13" fillId="0" borderId="8" xfId="0" applyNumberFormat="1" applyFont="1" applyFill="1" applyBorder="1" applyAlignment="1">
      <x:alignment vertical="top" wrapText="1"/>
    </x:xf>
    <x:xf numFmtId="0" fontId="13" fillId="0" borderId="10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 applyAlignment="1">
      <x:alignment vertical="top" wrapText="1"/>
    </x:xf>
    <x:xf numFmtId="0" fontId="13" fillId="0" borderId="13" xfId="0" applyNumberFormat="1" applyFont="1" applyFill="1" applyBorder="1" applyAlignment="1">
      <x:alignment vertical="top" wrapText="1"/>
    </x:xf>
    <x:xf numFmtId="0" fontId="11" fillId="8" borderId="2" xfId="0" applyNumberFormat="1" applyFont="1" applyFill="1" applyBorder="1" applyAlignment="1">
      <x:alignment horizontal="center" vertical="center" wrapText="1"/>
    </x:xf>
    <x:xf numFmtId="0" fontId="11" fillId="8" borderId="3" xfId="0" applyNumberFormat="1" applyFont="1" applyFill="1" applyBorder="1" applyAlignment="1">
      <x:alignment horizontal="center" vertical="center" wrapText="1"/>
    </x:xf>
    <x:xf numFmtId="0" fontId="11" fillId="8" borderId="4" xfId="0" applyNumberFormat="1" applyFont="1" applyFill="1" applyBorder="1" applyAlignment="1">
      <x:alignment horizontal="center" vertical="center" wrapText="1"/>
    </x:xf>
    <x:xf numFmtId="0" fontId="11" fillId="9" borderId="2" xfId="0" applyNumberFormat="1" applyFont="1" applyFill="1" applyBorder="1" applyAlignment="1">
      <x:alignment horizontal="center" vertical="center" wrapText="1"/>
    </x:xf>
    <x:xf numFmtId="0" fontId="11" fillId="9" borderId="4" xfId="0" applyNumberFormat="1" applyFont="1" applyFill="1" applyBorder="1" applyAlignment="1">
      <x:alignment horizontal="center" vertical="center" wrapText="1"/>
    </x:xf>
    <x:xf numFmtId="0" fontId="14" fillId="6" borderId="0" xfId="0" applyNumberFormat="1" applyFont="1" applyFill="1" applyBorder="1" applyAlignment="1">
      <x:alignment vertical="top" wrapText="1"/>
    </x:xf>
    <x:xf numFmtId="0" fontId="15" fillId="2" borderId="0" xfId="0" applyNumberFormat="1" applyFont="1" applyFill="1" applyBorder="1" applyAlignment="1">
      <x:alignment horizontal="left" vertical="center"/>
    </x:xf>
    <x:xf numFmtId="0" fontId="16" fillId="2" borderId="2" xfId="0" applyNumberFormat="1" applyFont="1" applyFill="1" applyBorder="1" applyAlignment="1">
      <x:alignment horizontal="center" vertical="center" wrapText="1"/>
    </x:xf>
    <x:xf numFmtId="0" fontId="16" fillId="2" borderId="3" xfId="0" applyNumberFormat="1" applyFont="1" applyFill="1" applyBorder="1" applyAlignment="1">
      <x:alignment horizontal="center" vertical="center" wrapText="1"/>
    </x:xf>
    <x:xf numFmtId="0" fontId="16" fillId="2" borderId="4" xfId="0" applyNumberFormat="1" applyFont="1" applyFill="1" applyBorder="1" applyAlignment="1">
      <x:alignment horizontal="center" vertical="center" wrapText="1"/>
    </x:xf>
    <x:xf numFmtId="0" fontId="16" fillId="7" borderId="2" xfId="0" applyNumberFormat="1" applyFont="1" applyFill="1" applyBorder="1" applyAlignment="1">
      <x:alignment horizontal="center" vertical="center" wrapText="1"/>
    </x:xf>
    <x:xf numFmtId="0" fontId="16" fillId="7" borderId="3" xfId="0" applyNumberFormat="1" applyFont="1" applyFill="1" applyBorder="1" applyAlignment="1">
      <x:alignment horizontal="center" vertical="center" wrapText="1"/>
    </x:xf>
    <x:xf numFmtId="0" fontId="16" fillId="7" borderId="4" xfId="0" applyNumberFormat="1" applyFont="1" applyFill="1" applyBorder="1" applyAlignment="1">
      <x:alignment horizontal="center" vertical="center" wrapText="1"/>
    </x:xf>
    <x:xf numFmtId="0" fontId="16" fillId="8" borderId="2" xfId="0" applyNumberFormat="1" applyFont="1" applyFill="1" applyBorder="1" applyAlignment="1">
      <x:alignment horizontal="center" vertical="center" wrapText="1"/>
    </x:xf>
    <x:xf numFmtId="0" fontId="16" fillId="8" borderId="3" xfId="0" applyNumberFormat="1" applyFont="1" applyFill="1" applyBorder="1" applyAlignment="1">
      <x:alignment horizontal="center" vertical="center" wrapText="1"/>
    </x:xf>
    <x:xf numFmtId="0" fontId="16" fillId="8" borderId="4" xfId="0" applyNumberFormat="1" applyFont="1" applyFill="1" applyBorder="1" applyAlignment="1">
      <x:alignment horizontal="center" vertical="center" wrapText="1"/>
    </x:xf>
    <x:xf numFmtId="0" fontId="16" fillId="9" borderId="2" xfId="0" applyNumberFormat="1" applyFont="1" applyFill="1" applyBorder="1" applyAlignment="1">
      <x:alignment horizontal="center" vertical="center" wrapText="1"/>
    </x:xf>
    <x:xf numFmtId="0" fontId="16" fillId="9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4c8a702254898" /><Relationship Type="http://schemas.openxmlformats.org/officeDocument/2006/relationships/theme" Target="/xl/theme/theme1.xml" Id="Rb951001421144a62" /><Relationship Type="http://schemas.openxmlformats.org/officeDocument/2006/relationships/sharedStrings" Target="/xl/sharedStrings.xml" Id="Rd70d0894e56741a6" /><Relationship Type="http://schemas.openxmlformats.org/officeDocument/2006/relationships/worksheet" Target="/xl/worksheets/sheet1.xml" Id="R331129af5eaf49ca" /><Relationship Type="http://schemas.openxmlformats.org/officeDocument/2006/relationships/worksheet" Target="/xl/worksheets/sheet2.xml" Id="Ra3cdb545be644e3d" /><Relationship Type="http://schemas.openxmlformats.org/officeDocument/2006/relationships/worksheet" Target="/xl/worksheets/sheet3.xml" Id="R045f199731364ca1" /><Relationship Type="http://schemas.openxmlformats.org/officeDocument/2006/relationships/worksheet" Target="/xl/worksheets/sheet4.xml" Id="R43d4dddae385449b" /><Relationship Type="http://schemas.openxmlformats.org/officeDocument/2006/relationships/worksheet" Target="/xl/worksheets/sheet5.xml" Id="R1ff2c93714ba4e02" /><Relationship Type="http://schemas.openxmlformats.org/officeDocument/2006/relationships/worksheet" Target="/xl/worksheets/sheet6.xml" Id="R353301d58776400f" /><Relationship Type="http://schemas.openxmlformats.org/officeDocument/2006/relationships/worksheet" Target="/xl/worksheets/sheet7.xml" Id="R24e5f0ee582e4d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7737d5218443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影片提到的外掛分類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外掛數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'分類統計'!$A$2:$A$4</c:f>
              <c:strCache>
                <c:ptCount val="0"/>
              </c:strCache>
            </c:strRef>
          </c:cat>
          <c:val>
            <c:numRef>
              <c:f>'分類統計'!$B$2:$B$4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7737d52184437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uginQuickLookup" displayName="PluginQuickLookup" ref="A1:I11" headerRowCount="1">
  <x:tableColumns count="9">
    <x:tableColumn id="1" name="#"/>
    <x:tableColumn id="2" name="分類"/>
    <x:tableColumn id="3" name="外掛"/>
    <x:tableColumn id="4" name="主要用途"/>
    <x:tableColumn id="5" name="影片重點"/>
    <x:tableColumn id="6" name="建議用法"/>
    <x:tableColumn id="7" name="注意事項"/>
    <x:tableColumn id="8" name="時間碼"/>
    <x:tableColumn id="9" name="優先度"/>
  </x:tableColumns>
  <x:tableStyleInfo name="TableStyleMedium2" showRowStripes="1"/>
</x:table>
</file>

<file path=xl/tables/table2.xml><?xml version="1.0" encoding="utf-8"?>
<x:table xmlns:x="http://schemas.openxmlformats.org/spreadsheetml/2006/main" id="2" name="SectionNotes" displayName="SectionNotes" ref="A1:D10" headerRowCount="1">
  <x:tableColumns count="4">
    <x:tableColumn id="1" name="時間碼"/>
    <x:tableColumn id="2" name="段落"/>
    <x:tableColumn id="3" name="重點摘要"/>
    <x:tableColumn id="4" name="可採取行動"/>
  </x:tableColumns>
  <x:tableStyleInfo name="TableStyleMedium4" showRowStripes="1"/>
</x:table>
</file>

<file path=xl/tables/table3.xml><?xml version="1.0" encoding="utf-8"?>
<x:table xmlns:x="http://schemas.openxmlformats.org/spreadsheetml/2006/main" id="3" name="ActionList" displayName="ActionList" ref="A1:E8" headerRowCount="1">
  <x:tableColumns count="5">
    <x:tableColumn id="1" name="情境"/>
    <x:tableColumn id="2" name="行動"/>
    <x:tableColumn id="3" name="做法"/>
    <x:tableColumn id="4" name="優先度"/>
    <x:tableColumn id="5" name="時機"/>
  </x:tableColumns>
  <x:tableStyleInfo name="TableStyleMedium7" showRowStripes="1"/>
</x:table>
</file>

<file path=xl/tables/table4.xml><?xml version="1.0" encoding="utf-8"?>
<x:table xmlns:x="http://schemas.openxmlformats.org/spreadsheetml/2006/main" id="4" name="PromptTemplates" displayName="PromptTemplates" ref="A1:B8" headerRowCount="1">
  <x:tableColumns count="2">
    <x:tableColumn id="1" name="適用外掛"/>
    <x:tableColumn id="2" name="可複用提示詞模板"/>
  </x:tableColumns>
  <x:tableStyleInfo name="TableStyleMedium3" showRowStripes="1"/>
</x:table>
</file>

<file path=xl/tables/table5.xml><?xml version="1.0" encoding="utf-8"?>
<x:table xmlns:x="http://schemas.openxmlformats.org/spreadsheetml/2006/main" id="5" name="CategoryStats" displayName="CategoryStats" ref="A1:C4" headerRowCount="1">
  <x:tableColumns count="3">
    <x:tableColumn id="1" name="分類"/>
    <x:tableColumn id="2" name="外掛數"/>
    <x:tableColumn id="3" name="代表外掛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198db4ca3340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c24bf5514644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709ccb4f0c42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d88c3b8c1a44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aff838e0db14f20" /><Relationship Type="http://schemas.openxmlformats.org/officeDocument/2006/relationships/table" Target="/xl/tables/table5.xml" Id="R247c83c4b2334b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6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</x:cols>
  <x:sheetData>
    <x:row r="1" ht="30" hidden="0" customHeight="1">
      <x:c r="A1" s="112" t="str">
        <x:v>Codex 外掛影片筆記</x:v>
      </x:c>
      <x:c r="B1" s="112" t="str">
        <x:v>Codex 外掛影片筆記</x:v>
      </x:c>
      <x:c r="C1" s="112" t="str">
        <x:v>Codex 外掛影片筆記</x:v>
      </x:c>
      <x:c r="D1" s="112" t="str">
        <x:v>Codex 外掛影片筆記</x:v>
      </x:c>
      <x:c r="E1" s="112" t="str">
        <x:v>Codex 外掛影片筆記</x:v>
      </x:c>
      <x:c r="F1" s="112" t="str">
        <x:v>Codex 外掛影片筆記</x:v>
      </x:c>
    </x:row>
    <x:row r="2" ht="15" hidden="0" customHeight="1">
      <x:c r="A2" s="78"/>
      <x:c r="B2" s="78"/>
      <x:c r="C2" s="78"/>
      <x:c r="D2" s="78"/>
      <x:c r="E2" s="78"/>
      <x:c r="F2" s="78"/>
    </x:row>
    <x:row r="3" ht="39.599998474121094" hidden="0" customHeight="1">
      <x:c r="A3" s="79" t="str">
        <x:v>影片標題</x:v>
      </x:c>
      <x:c r="B3" s="80" t="str">
        <x:v>10個必裝Codex外掛,讓AI強大10倍! 0代碼基礎也能一句話做影片、縮圖、簡報、App、操控你的電腦</x:v>
      </x:c>
      <x:c r="C3" s="78"/>
      <x:c r="D3" s="78"/>
      <x:c r="E3" s="78"/>
      <x:c r="F3" s="78"/>
    </x:row>
    <x:row r="4" ht="15" hidden="0" customHeight="1">
      <x:c r="A4" s="79" t="str">
        <x:v>頻道</x:v>
      </x:c>
      <x:c r="B4" s="80" t="str">
        <x:v>七七行銷筆記</x:v>
      </x:c>
      <x:c r="C4" s="78"/>
      <x:c r="D4" s="78"/>
      <x:c r="E4" s="78"/>
      <x:c r="F4" s="78"/>
    </x:row>
    <x:row r="5" ht="15" hidden="0" customHeight="1">
      <x:c r="A5" s="79" t="str">
        <x:v>影片網址</x:v>
      </x:c>
      <x:c r="B5" s="80" t="str">
        <x:v>https://www.youtube.com/watch?v=Yq0uiagY2J4</x:v>
      </x:c>
      <x:c r="C5" s="78"/>
      <x:c r="D5" s="78"/>
      <x:c r="E5" s="78"/>
      <x:c r="F5" s="78"/>
    </x:row>
    <x:row r="6" ht="15" hidden="0" customHeight="1">
      <x:c r="A6" s="79" t="str">
        <x:v>頻道網址</x:v>
      </x:c>
      <x:c r="B6" s="80" t="str">
        <x:v>http://www.youtube.com/@77MediaBook</x:v>
      </x:c>
      <x:c r="C6" s="78"/>
      <x:c r="D6" s="78"/>
      <x:c r="E6" s="78"/>
      <x:c r="F6" s="78"/>
    </x:row>
    <x:row r="7" ht="15" hidden="0" customHeight="1">
      <x:c r="A7" s="79" t="str">
        <x:v>發布日期</x:v>
      </x:c>
      <x:c r="B7" s="80" t="str">
        <x:v>2026-06-23</x:v>
      </x:c>
      <x:c r="C7" s="78"/>
      <x:c r="D7" s="78"/>
      <x:c r="E7" s="78"/>
      <x:c r="F7" s="78"/>
    </x:row>
    <x:row r="8" ht="15" hidden="0" customHeight="1">
      <x:c r="A8" s="79" t="str">
        <x:v>影片長度</x:v>
      </x:c>
      <x:c r="B8" s="80" t="str">
        <x:v>11:12</x:v>
      </x:c>
      <x:c r="C8" s="78"/>
      <x:c r="D8" s="78"/>
      <x:c r="E8" s="78"/>
      <x:c r="F8" s="78"/>
    </x:row>
    <x:row r="9" ht="15" hidden="0" customHeight="1">
      <x:c r="A9" s="79" t="str">
        <x:v>觀看數</x:v>
      </x:c>
      <x:c r="B9" s="80" t="n">
        <x:v>3031</x:v>
      </x:c>
      <x:c r="C9" s="78"/>
      <x:c r="D9" s="78"/>
      <x:c r="E9" s="78"/>
      <x:c r="F9" s="78"/>
    </x:row>
    <x:row r="10" ht="15" hidden="0" customHeight="1">
      <x:c r="A10" s="79" t="str">
        <x:v>喜歡數</x:v>
      </x:c>
      <x:c r="B10" s="80" t="n">
        <x:v>113</x:v>
      </x:c>
      <x:c r="C10" s="78"/>
      <x:c r="D10" s="78"/>
      <x:c r="E10" s="78"/>
      <x:c r="F10" s="78"/>
    </x:row>
    <x:row r="11" ht="15" hidden="0" customHeight="1">
      <x:c r="A11" s="79" t="str">
        <x:v>整理日期</x:v>
      </x:c>
      <x:c r="B11" s="80" t="str">
        <x:v>2026-06-26</x:v>
      </x:c>
      <x:c r="C11" s="78"/>
      <x:c r="D11" s="78"/>
      <x:c r="E11" s="78"/>
      <x:c r="F11" s="78"/>
    </x:row>
    <x:row r="12" ht="15" hidden="0" customHeight="1">
      <x:c r="A12" s="79" t="str">
        <x:v>轉錄方式</x:v>
      </x:c>
      <x:c r="B12" s="80" t="str">
        <x:v>影片無字幕/自動字幕；以音訊轉錄後整理為摘要筆記。</x:v>
      </x:c>
      <x:c r="C12" s="78"/>
      <x:c r="D12" s="78"/>
      <x:c r="E12" s="78"/>
      <x:c r="F12" s="78"/>
    </x:row>
    <x:row r="13" ht="15" hidden="0" customHeight="1">
      <x:c r="A13" s="78"/>
      <x:c r="B13" s="78"/>
      <x:c r="C13" s="78"/>
      <x:c r="D13" s="78"/>
      <x:c r="E13" s="78"/>
      <x:c r="F13" s="78"/>
    </x:row>
    <x:row r="14" ht="15" hidden="0" customHeight="1">
      <x:c r="A14" s="113" t="str">
        <x:v>核心結論</x:v>
      </x:c>
      <x:c r="B14" s="114" t="str">
        <x:v>內容創作外掛</x:v>
      </x:c>
      <x:c r="C14" s="114" t="str">
        <x:v>辦公提效外掛</x:v>
      </x:c>
      <x:c r="D14" s="114" t="str">
        <x:v>設計開發外掛</x:v>
      </x:c>
      <x:c r="E14" s="114" t="str">
        <x:v>總外掛數</x:v>
      </x:c>
      <x:c r="F14" s="115" t="str">
        <x:v>最適合先試</x:v>
      </x:c>
    </x:row>
    <x:row r="15" ht="79.19999694824219" hidden="0" customHeight="1">
      <x:c r="A15" s="84" t="str">
        <x:v>先從高頻任務切入：影片/封面/簡報/表格能最快看到效率差異；能控制電腦的外掛則要特別注意授權與安全界線。</x:v>
      </x:c>
      <x:c r="B15" s="85" t="n">
        <x:f>COUNTIF('外掛速查'!B2:B11,"內容創作")</x:f>
        <x:v>2</x:v>
      </x:c>
      <x:c r="C15" s="85" t="n">
        <x:f>COUNTIF('外掛速查'!B2:B11,"辦公提效")</x:f>
        <x:v>4</x:v>
      </x:c>
      <x:c r="D15" s="85" t="n">
        <x:f>COUNTIF('外掛速查'!B2:B11,"設計開發")</x:f>
        <x:v>4</x:v>
      </x:c>
      <x:c r="E15" s="85" t="n">
        <x:f>COUNTA('外掛速查'!C2:C11)</x:f>
        <x:v>10</x:v>
      </x:c>
      <x:c r="F15" s="84" t="str">
        <x:v>Canva、Presentations、Spreadsheets、Product Design</x:v>
      </x:c>
    </x:row>
    <x:row r="16" ht="15" hidden="0" customHeight="1">
      <x:c r="A16" s="78"/>
      <x:c r="B16" s="78"/>
      <x:c r="C16" s="78"/>
      <x:c r="D16" s="78"/>
      <x:c r="E16" s="78"/>
      <x:c r="F16" s="78"/>
    </x:row>
    <x:row r="17" ht="15" hidden="0" customHeight="1">
      <x:c r="A17" s="86" t="str">
        <x:v>使用提醒</x:v>
      </x:c>
      <x:c r="B17" s="87" t="str">
        <x:v>本筆記為影片內容摘要與整理，非完整逐字稿。外掛名稱以影片語境與 Codex 常見命名校正；若你的 Codex 介面顯示略不同，請以實際插件商店名稱為準。</x:v>
      </x:c>
      <x:c r="C17" s="87" t="str"/>
      <x:c r="D17" s="87" t="str"/>
      <x:c r="E17" s="87" t="str"/>
      <x:c r="F17" s="87" t="str"/>
    </x:row>
  </x:sheetData>
  <x:mergeCells>
    <x:mergeCell ref="A1:F1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24" hidden="0" customWidth="1"/>
    <x:col min="5" max="5" width="38" hidden="0" customWidth="1"/>
    <x:col min="6" max="6" width="38" hidden="0" customWidth="1"/>
    <x:col min="7" max="7" width="34" hidden="0" customWidth="1"/>
    <x:col min="8" max="8" width="14" hidden="0" customWidth="1"/>
    <x:col min="9" max="9" width="10" hidden="0" customWidth="1"/>
  </x:cols>
  <x:sheetData>
    <x:row r="1" ht="15" hidden="0" customHeight="1">
      <x:c r="A1" s="116" t="str">
        <x:v>#</x:v>
      </x:c>
      <x:c r="B1" s="117" t="str">
        <x:v>分類</x:v>
      </x:c>
      <x:c r="C1" s="117" t="str">
        <x:v>外掛</x:v>
      </x:c>
      <x:c r="D1" s="117" t="str">
        <x:v>主要用途</x:v>
      </x:c>
      <x:c r="E1" s="117" t="str">
        <x:v>影片重點</x:v>
      </x:c>
      <x:c r="F1" s="117" t="str">
        <x:v>建議用法</x:v>
      </x:c>
      <x:c r="G1" s="117" t="str">
        <x:v>注意事項</x:v>
      </x:c>
      <x:c r="H1" s="117" t="str">
        <x:v>時間碼</x:v>
      </x:c>
      <x:c r="I1" s="118" t="str">
        <x:v>優先度</x:v>
      </x:c>
    </x:row>
    <x:row r="2" ht="24" hidden="0" customHeight="1">
      <x:c r="A2" s="91" t="n">
        <x:v>1</x:v>
      </x:c>
      <x:c r="B2" s="92" t="str">
        <x:v>內容創作</x:v>
      </x:c>
      <x:c r="C2" s="92" t="str">
        <x:v>HyperFrames</x:v>
      </x:c>
      <x:c r="D2" s="92" t="str">
        <x:v>影片、動畫、短片、字幕/轉場</x:v>
      </x:c>
      <x:c r="E2" s="92" t="str">
        <x:v>用一句話或完整 prompt 生成影片檔，適合社群短片與教學動畫。</x:v>
      </x:c>
      <x:c r="F2" s="92" t="str">
        <x:v>安裝後在對話框 @ 外掛；先準備腳本、畫面、風格、比例、時長。</x:v>
      </x:c>
      <x:c r="G2" s="92" t="str">
        <x:v>只給文字提示時，畫面可能平淡；素材越完整越好。</x:v>
      </x:c>
      <x:c r="H2" s="92" t="str">
        <x:v>01:08-03:17</x:v>
      </x:c>
      <x:c r="I2" s="93" t="str">
        <x:v>高</x:v>
      </x:c>
    </x:row>
    <x:row r="3" ht="24" hidden="0" customHeight="1">
      <x:c r="A3" s="94" t="n">
        <x:v>2</x:v>
      </x:c>
      <x:c r="B3" s="95" t="str">
        <x:v>內容創作</x:v>
      </x:c>
      <x:c r="C3" s="95" t="str">
        <x:v>Canva</x:v>
      </x:c>
      <x:c r="D3" s="95" t="str">
        <x:v>縮圖、封面、社群視覺、簡報視覺</x:v>
      </x:c>
      <x:c r="E3" s="95" t="str">
        <x:v>比直接在 Canva AI 裡生成更能結合 Codex 的上下文與迭代。</x:v>
      </x:c>
      <x:c r="F3" s="95" t="str">
        <x:v>上傳人物圖/參考圖，明確主標、副標、風格，再要求修改。</x:v>
      </x:c>
      <x:c r="G3" s="95" t="str">
        <x:v>第一版需人工審稿；細節可用可視化連結或框選修改。</x:v>
      </x:c>
      <x:c r="H3" s="95" t="str">
        <x:v>03:17-04:51</x:v>
      </x:c>
      <x:c r="I3" s="96" t="str">
        <x:v>高</x:v>
      </x:c>
    </x:row>
    <x:row r="4" ht="24" hidden="0" customHeight="1">
      <x:c r="A4" s="94" t="n">
        <x:v>3</x:v>
      </x:c>
      <x:c r="B4" s="95" t="str">
        <x:v>辦公提效</x:v>
      </x:c>
      <x:c r="C4" s="95" t="str">
        <x:v>Presentations</x:v>
      </x:c>
      <x:c r="D4" s="95" t="str">
        <x:v>商業簡報、週報、月報、提案</x:v>
      </x:c>
      <x:c r="E4" s="95" t="str">
        <x:v>可查資料、搭架構、生成圖表與完整簡報；適合資料型簡報。</x:v>
      </x:c>
      <x:c r="F4" s="95" t="str">
        <x:v>先讓它規劃每頁主張、數據、圖表與來源，再生成簡報。</x:v>
      </x:c>
      <x:c r="G4" s="95" t="str">
        <x:v>資料型內容要查證來源；不要跳過大綱確認。</x:v>
      </x:c>
      <x:c r="H4" s="95" t="str">
        <x:v>04:53-06:31</x:v>
      </x:c>
      <x:c r="I4" s="96" t="str">
        <x:v>高</x:v>
      </x:c>
    </x:row>
    <x:row r="5" ht="24" hidden="0" customHeight="1">
      <x:c r="A5" s="94" t="n">
        <x:v>4</x:v>
      </x:c>
      <x:c r="B5" s="95" t="str">
        <x:v>辦公提效</x:v>
      </x:c>
      <x:c r="C5" s="95" t="str">
        <x:v>Spreadsheets</x:v>
      </x:c>
      <x:c r="D5" s="95" t="str">
        <x:v>整理亂資料、分類、計算、圖表</x:v>
      </x:c>
      <x:c r="E5" s="95" t="str">
        <x:v>可把不規則紀錄轉成乾淨表格，自動分類並產生圖表。</x:v>
      </x:c>
      <x:c r="F5" s="95" t="str">
        <x:v>貼上原始紀錄，指定欄位、分類規則、統計與圖表需求。</x:v>
      </x:c>
      <x:c r="G5" s="95" t="str">
        <x:v>需要抽查分類是否符合你的口徑。</x:v>
      </x:c>
      <x:c r="H5" s="95" t="str">
        <x:v>06:31-07:39</x:v>
      </x:c>
      <x:c r="I5" s="96" t="str">
        <x:v>高</x:v>
      </x:c>
    </x:row>
    <x:row r="6" ht="24" hidden="0" customHeight="1">
      <x:c r="A6" s="94" t="n">
        <x:v>5</x:v>
      </x:c>
      <x:c r="B6" s="95" t="str">
        <x:v>辦公提效</x:v>
      </x:c>
      <x:c r="C6" s="95" t="str">
        <x:v>Computer Use</x:v>
      </x:c>
      <x:c r="D6" s="95" t="str">
        <x:v>操作桌面應用、搬運資料、跨工具流程</x:v>
      </x:c>
      <x:c r="E6" s="95" t="str">
        <x:v>讓 Codex 能像人一樣操作電腦介面。</x:v>
      </x:c>
      <x:c r="F6" s="95" t="str">
        <x:v>初次使用需授權；從低風險、可回復任務開始。</x:v>
      </x:c>
      <x:c r="G6" s="95" t="str">
        <x:v>不要用於銀行、支付、密碼或敏感資訊。</x:v>
      </x:c>
      <x:c r="H6" s="95" t="str">
        <x:v>07:39-08:39</x:v>
      </x:c>
      <x:c r="I6" s="96" t="str">
        <x:v>中</x:v>
      </x:c>
    </x:row>
    <x:row r="7" ht="24" hidden="0" customHeight="1">
      <x:c r="A7" s="94" t="n">
        <x:v>6</x:v>
      </x:c>
      <x:c r="B7" s="95" t="str">
        <x:v>辦公提效</x:v>
      </x:c>
      <x:c r="C7" s="95" t="str">
        <x:v>Chrome</x:v>
      </x:c>
      <x:c r="D7" s="95" t="str">
        <x:v>瀏覽器操作、填表、貼文、網站任務</x:v>
      </x:c>
      <x:c r="E7" s="95" t="str">
        <x:v>可直接控制瀏覽器，執行開頁、輸入、點擊、上傳等動作。</x:v>
      </x:c>
      <x:c r="F7" s="95" t="str">
        <x:v>明確指定網址、欄位、操作順序和完成標準。</x:v>
      </x:c>
      <x:c r="G7" s="95" t="str">
        <x:v>網站登入與發布前仍要人工確認。</x:v>
      </x:c>
      <x:c r="H7" s="95" t="str">
        <x:v>07:39-08:39</x:v>
      </x:c>
      <x:c r="I7" s="96" t="str">
        <x:v>中</x:v>
      </x:c>
    </x:row>
    <x:row r="8" ht="24" hidden="0" customHeight="1">
      <x:c r="A8" s="94" t="n">
        <x:v>7</x:v>
      </x:c>
      <x:c r="B8" s="95" t="str">
        <x:v>設計開發</x:v>
      </x:c>
      <x:c r="C8" s="95" t="str">
        <x:v>Product Design</x:v>
      </x:c>
      <x:c r="D8" s="95" t="str">
        <x:v>UI 設計、視覺探索、產品頁/電商頁</x:v>
      </x:c>
      <x:c r="E8" s="95" t="str">
        <x:v>改善 Codex 做 UI 時的視覺品質，可先確認風格再生成。</x:v>
      </x:c>
      <x:c r="F8" s="95" t="str">
        <x:v>提供想法、目標用戶、參考網站、品牌/配色偏好。</x:v>
      </x:c>
      <x:c r="G8" s="95" t="str">
        <x:v>先對齊風格與資訊架構，再要求產出。</x:v>
      </x:c>
      <x:c r="H8" s="95" t="str">
        <x:v>08:40-09:36</x:v>
      </x:c>
      <x:c r="I8" s="96" t="str">
        <x:v>高</x:v>
      </x:c>
    </x:row>
    <x:row r="9" ht="24" hidden="0" customHeight="1">
      <x:c r="A9" s="94" t="n">
        <x:v>8</x:v>
      </x:c>
      <x:c r="B9" s="95" t="str">
        <x:v>設計開發</x:v>
      </x:c>
      <x:c r="C9" s="95" t="str">
        <x:v>Build Web Apps</x:v>
      </x:c>
      <x:c r="D9" s="95" t="str">
        <x:v>網頁工具、互動網站、Web App</x:v>
      </x:c>
      <x:c r="E9" s="95" t="str">
        <x:v>把設計或想法變成可點可用的網頁應用。</x:v>
      </x:c>
      <x:c r="F9" s="95" t="str">
        <x:v>選定 Product Design 產出的畫面後，交給 Web App 外掛實作。</x:v>
      </x:c>
      <x:c r="G9" s="95" t="str">
        <x:v>第一版常有細節待修；要保留迭代清單。</x:v>
      </x:c>
      <x:c r="H9" s="95" t="str">
        <x:v>09:36-10:42</x:v>
      </x:c>
      <x:c r="I9" s="96" t="str">
        <x:v>中</x:v>
      </x:c>
    </x:row>
    <x:row r="10" ht="15" hidden="0" customHeight="1">
      <x:c r="A10" s="94" t="n">
        <x:v>9</x:v>
      </x:c>
      <x:c r="B10" s="95" t="str">
        <x:v>設計開發</x:v>
      </x:c>
      <x:c r="C10" s="95" t="str">
        <x:v>Build iOS Apps</x:v>
      </x:c>
      <x:c r="D10" s="95" t="str">
        <x:v>iPhone App 原型/應用</x:v>
      </x:c>
      <x:c r="E10" s="95" t="str">
        <x:v>將同一個想法轉成 iOS App 方向。</x:v>
      </x:c>
      <x:c r="F10" s="95" t="str">
        <x:v>用相同需求調用 iOS 對應外掛，指定手機操作流程。</x:v>
      </x:c>
      <x:c r="G10" s="95" t="str">
        <x:v>仍需檢查平台互動與發布要求。</x:v>
      </x:c>
      <x:c r="H10" s="95" t="str">
        <x:v>09:45-10:29</x:v>
      </x:c>
      <x:c r="I10" s="96" t="str">
        <x:v>中</x:v>
      </x:c>
    </x:row>
    <x:row r="11" ht="24" hidden="0" customHeight="1">
      <x:c r="A11" s="97" t="n">
        <x:v>10</x:v>
      </x:c>
      <x:c r="B11" s="98" t="str">
        <x:v>設計開發</x:v>
      </x:c>
      <x:c r="C11" s="98" t="str">
        <x:v>Build Android Apps</x:v>
      </x:c>
      <x:c r="D11" s="98" t="str">
        <x:v>Android App 原型/應用</x:v>
      </x:c>
      <x:c r="E11" s="98" t="str">
        <x:v>將同一個想法轉成 Android App 方向。</x:v>
      </x:c>
      <x:c r="F11" s="98" t="str">
        <x:v>用相同需求調用 Android 對應外掛，指定手機操作流程。</x:v>
      </x:c>
      <x:c r="G11" s="98" t="str">
        <x:v>不同裝置尺寸與權限需要另外驗證。</x:v>
      </x:c>
      <x:c r="H11" s="98" t="str">
        <x:v>09:45-10:29</x:v>
      </x:c>
      <x:c r="I11" s="99" t="str">
        <x:v>中</x:v>
      </x:c>
    </x:row>
  </x:sheetData>
  <x:pageMargins left="0.7" right="0.7" top="0.75" bottom="0.75" header="0.3" footer="0.3"/>
  <x:tableParts count="1">
    <x:tablePart xmlns:r="http://schemas.openxmlformats.org/officeDocument/2006/relationships" r:id="R57198db4ca3340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62" hidden="0" customWidth="1"/>
    <x:col min="4" max="4" width="48" hidden="0" customWidth="1"/>
  </x:cols>
  <x:sheetData>
    <x:row r="1" ht="15" hidden="0" customHeight="1">
      <x:c r="A1" s="113" t="str">
        <x:v>時間碼</x:v>
      </x:c>
      <x:c r="B1" s="114" t="str">
        <x:v>段落</x:v>
      </x:c>
      <x:c r="C1" s="114" t="str">
        <x:v>重點摘要</x:v>
      </x:c>
      <x:c r="D1" s="115" t="str">
        <x:v>可採取行動</x:v>
      </x:c>
    </x:row>
    <x:row r="2" ht="36" hidden="0" customHeight="1">
      <x:c r="A2" s="100" t="str">
        <x:v>00:00-01:07</x:v>
      </x:c>
      <x:c r="B2" s="92" t="str">
        <x:v>開場與分類</x:v>
      </x:c>
      <x:c r="C2" s="92" t="str">
        <x:v>影片主張 10 個 Codex 外掛能把內容創作、辦公提效、設計開發流程大幅加速，並強調一鍵安裝、零代碼也能上手。</x:v>
      </x:c>
      <x:c r="D2" s="101" t="str">
        <x:v>先挑和自己日常任務最貼近的 2-3 個外掛試用，不必一次全裝。</x:v>
      </x:c>
    </x:row>
    <x:row r="3" ht="24" hidden="0" customHeight="1">
      <x:c r="A3" s="102" t="str">
        <x:v>01:08-03:17</x:v>
      </x:c>
      <x:c r="B3" s="95" t="str">
        <x:v>HyperFrames</x:v>
      </x:c>
      <x:c r="C3" s="95" t="str">
        <x:v>示範用提示詞產出影片、動畫、字幕、轉場等內容。講者提醒只給文字提示時效果有限，素材、腳本、風格描述越完整，成品越好。</x:v>
      </x:c>
      <x:c r="D3" s="103" t="str">
        <x:v>先用 ChatGPT 寫好影片腳本與畫面需求，再把完整 prompt 交給 HyperFrames。</x:v>
      </x:c>
    </x:row>
    <x:row r="4" ht="36" hidden="0" customHeight="1">
      <x:c r="A4" s="102" t="str">
        <x:v>03:17-04:51</x:v>
      </x:c>
      <x:c r="B4" s="95" t="str">
        <x:v>Canva</x:v>
      </x:c>
      <x:c r="C4" s="95" t="str">
        <x:v>用 Codex 裡的 Canva 外掛生成縮圖/視覺稿，並透過人物照、過往封面與參考圖來維持品牌風格。可反覆用自然語言修改，也可開啟可視化連結微調。</x:v>
      </x:c>
      <x:c r="D4" s="103" t="str">
        <x:v>把人物、參考封面、主標/副標、風格關鍵字一起提供；第一版後用具體改動指令迭代。</x:v>
      </x:c>
    </x:row>
    <x:row r="5" ht="24" hidden="0" customHeight="1">
      <x:c r="A5" s="102" t="str">
        <x:v>04:53-06:31</x:v>
      </x:c>
      <x:c r="B5" s="95" t="str">
        <x:v>Presentations</x:v>
      </x:c>
      <x:c r="C5" s="95" t="str">
        <x:v>做資料型簡報時，講者推薦先讓外掛查資料與規劃每頁結構，再確認後生成完整簡報。成品包含圖表、來源與一致版式。</x:v>
      </x:c>
      <x:c r="D5" s="103" t="str">
        <x:v>不要直接要求成稿；先要求研究、頁面大綱、數據來源與圖表形式。</x:v>
      </x:c>
    </x:row>
    <x:row r="6" ht="24" hidden="0" customHeight="1">
      <x:c r="A6" s="102" t="str">
        <x:v>06:31-07:39</x:v>
      </x:c>
      <x:c r="B6" s="95" t="str">
        <x:v>Spreadsheets</x:v>
      </x:c>
      <x:c r="C6" s="95" t="str">
        <x:v>用表格外掛把混亂的開銷紀錄整理為日期、項目、類別、金額欄位，並自動分類、計算總額/比例與產生圖表。</x:v>
      </x:c>
      <x:c r="D6" s="103" t="str">
        <x:v>適合整理記帳、業務名單、銷售數據、問卷資料等不規則原始資料。</x:v>
      </x:c>
    </x:row>
    <x:row r="7" ht="36" hidden="0" customHeight="1">
      <x:c r="A7" s="102" t="str">
        <x:v>07:39-08:39</x:v>
      </x:c>
      <x:c r="B7" s="95" t="str">
        <x:v>Computer Use / Chrome</x:v>
      </x:c>
      <x:c r="C7" s="95" t="str">
        <x:v>這組外掛讓 Codex 可操作電腦或瀏覽器，例如打開頁面、輸入文字、點擊、上傳圖片等。講者也提醒要謹慎授權。</x:v>
      </x:c>
      <x:c r="D7" s="103" t="str">
        <x:v>只交辦低風險任務；避免銀行、支付、密碼或敏感個資流程。</x:v>
      </x:c>
    </x:row>
    <x:row r="8" ht="24" hidden="0" customHeight="1">
      <x:c r="A8" s="102" t="str">
        <x:v>08:40-09:36</x:v>
      </x:c>
      <x:c r="B8" s="95" t="str">
        <x:v>Product Design</x:v>
      </x:c>
      <x:c r="C8" s="95" t="str">
        <x:v>針對 Codex UI 設計能力補強：輸入想法與參考網站，外掛會先確認偏好，再整理素材、生成 UI 與可用網站示例。</x:v>
      </x:c>
      <x:c r="D8" s="103" t="str">
        <x:v>先給參考風格與受眾/功能需求，讓它在開始前確認視覺方向。</x:v>
      </x:c>
    </x:row>
    <x:row r="9" ht="24" hidden="0" customHeight="1">
      <x:c r="A9" s="102" t="str">
        <x:v>09:36-10:42</x:v>
      </x:c>
      <x:c r="B9" s="95" t="str">
        <x:v>App Builders</x:v>
      </x:c>
      <x:c r="C9" s="95" t="str">
        <x:v>講者把 Web、iOS、Android App 建立分成對應外掛。示範番茄鐘應用：先設計 UI，再讓對應外掛做成可點擊、可計時、可記錄的應用。</x:v>
      </x:c>
      <x:c r="D9" s="103" t="str">
        <x:v>先用 Product Design 產出方向，再把選中的畫面交給 Web/iOS/Android 對應外掛開發。</x:v>
      </x:c>
    </x:row>
    <x:row r="10" ht="15" hidden="0" customHeight="1">
      <x:c r="A10" s="104" t="str">
        <x:v>10:42-11:12</x:v>
      </x:c>
      <x:c r="B10" s="98" t="str">
        <x:v>結尾與資料包</x:v>
      </x:c>
      <x:c r="C10" s="98" t="str">
        <x:v>總結所有外掛都可一鍵安裝、零代碼使用，並引導觀眾領取外掛指南與加入直播群。</x:v>
      </x:c>
      <x:c r="D10" s="105" t="str">
        <x:v>把影片當作工具地圖；真正落地時要從自己的高頻工作場景挑工具。</x:v>
      </x:c>
    </x:row>
  </x:sheetData>
  <x:pageMargins left="0.7" right="0.7" top="0.75" bottom="0.75" header="0.3" footer="0.3"/>
  <x:tableParts count="1">
    <x:tablePart xmlns:r="http://schemas.openxmlformats.org/officeDocument/2006/relationships" r:id="R5ac24bf5514644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64" hidden="0" customWidth="1"/>
    <x:col min="4" max="4" width="12" hidden="0" customWidth="1"/>
    <x:col min="5" max="5" width="16" hidden="0" customWidth="1"/>
  </x:cols>
  <x:sheetData>
    <x:row r="1" ht="15" hidden="0" customHeight="1">
      <x:c r="A1" s="119" t="str">
        <x:v>情境</x:v>
      </x:c>
      <x:c r="B1" s="120" t="str">
        <x:v>行動</x:v>
      </x:c>
      <x:c r="C1" s="120" t="str">
        <x:v>做法</x:v>
      </x:c>
      <x:c r="D1" s="120" t="str">
        <x:v>優先度</x:v>
      </x:c>
      <x:c r="E1" s="121" t="str">
        <x:v>時機</x:v>
      </x:c>
    </x:row>
    <x:row r="2" ht="24" hidden="0" customHeight="1">
      <x:c r="A2" s="100" t="str">
        <x:v>今天就能做</x:v>
      </x:c>
      <x:c r="B2" s="92" t="str">
        <x:v>選 2 個外掛</x:v>
      </x:c>
      <x:c r="C2" s="92" t="str">
        <x:v>根據你的工作挑最痛的場景：影片/設計選 HyperFrames 或 Canva；資料/辦公選 Presentations 或 Spreadsheets。</x:v>
      </x:c>
      <x:c r="D2" s="92" t="str">
        <x:v>高</x:v>
      </x:c>
      <x:c r="E2" s="101" t="str">
        <x:v>今天</x:v>
      </x:c>
    </x:row>
    <x:row r="3" ht="24" hidden="0" customHeight="1">
      <x:c r="A3" s="102" t="str">
        <x:v>今天就能做</x:v>
      </x:c>
      <x:c r="B3" s="95" t="str">
        <x:v>建立素材包</x:v>
      </x:c>
      <x:c r="C3" s="95" t="str">
        <x:v>把品牌圖、人物照、過往作品、參考風格、常用文案放成資料夾，供 Canva/Product Design/HyperFrames 使用。</x:v>
      </x:c>
      <x:c r="D3" s="95" t="str">
        <x:v>高</x:v>
      </x:c>
      <x:c r="E3" s="103" t="str">
        <x:v>今天</x:v>
      </x:c>
    </x:row>
    <x:row r="4" ht="15" hidden="0" customHeight="1">
      <x:c r="A4" s="102" t="str">
        <x:v>簡報流程</x:v>
      </x:c>
      <x:c r="B4" s="95" t="str">
        <x:v>先規劃再生成</x:v>
      </x:c>
      <x:c r="C4" s="95" t="str">
        <x:v>資料型簡報先讓 Presentations 查資料、列頁面主張、圖表形式與來源，確認後再做成稿。</x:v>
      </x:c>
      <x:c r="D4" s="95" t="str">
        <x:v>高</x:v>
      </x:c>
      <x:c r="E4" s="103" t="str">
        <x:v>下次簡報前</x:v>
      </x:c>
    </x:row>
    <x:row r="5" ht="15" hidden="0" customHeight="1">
      <x:c r="A5" s="102" t="str">
        <x:v>資料流程</x:v>
      </x:c>
      <x:c r="B5" s="95" t="str">
        <x:v>把亂資料交給 Spreadsheets</x:v>
      </x:c>
      <x:c r="C5" s="95" t="str">
        <x:v>將開銷、名單、銷售、問卷等原始內容貼入，要求統一欄位、分類、計算、視覺化。</x:v>
      </x:c>
      <x:c r="D5" s="95" t="str">
        <x:v>中</x:v>
      </x:c>
      <x:c r="E5" s="103" t="str">
        <x:v>本週</x:v>
      </x:c>
    </x:row>
    <x:row r="6" ht="15" hidden="0" customHeight="1">
      <x:c r="A6" s="102" t="str">
        <x:v>安全控管</x:v>
      </x:c>
      <x:c r="B6" s="95" t="str">
        <x:v>限制可操作範圍</x:v>
      </x:c>
      <x:c r="C6" s="95" t="str">
        <x:v>Computer Use/Chrome 只用於非敏感任務；登入、付款、刪除、發布前保留人工確認。</x:v>
      </x:c>
      <x:c r="D6" s="95" t="str">
        <x:v>高</x:v>
      </x:c>
      <x:c r="E6" s="103" t="str">
        <x:v>每次使用前</x:v>
      </x:c>
    </x:row>
    <x:row r="7" ht="15" hidden="0" customHeight="1">
      <x:c r="A7" s="102" t="str">
        <x:v>開發流程</x:v>
      </x:c>
      <x:c r="B7" s="95" t="str">
        <x:v>先設計 UI，再做 App</x:v>
      </x:c>
      <x:c r="C7" s="95" t="str">
        <x:v>先用 Product Design 取得視覺方向，再交給 Web/iOS/Android 外掛實作，可降低返工。</x:v>
      </x:c>
      <x:c r="D7" s="95" t="str">
        <x:v>中</x:v>
      </x:c>
      <x:c r="E7" s="103" t="str">
        <x:v>做 App 前</x:v>
      </x:c>
    </x:row>
    <x:row r="8" ht="15" hidden="0" customHeight="1">
      <x:c r="A8" s="104" t="str">
        <x:v>品質控管</x:v>
      </x:c>
      <x:c r="B8" s="98" t="str">
        <x:v>建立驗收清單</x:v>
      </x:c>
      <x:c r="C8" s="98" t="str">
        <x:v>檢查文字、來源、圖片授權、按鈕功能、資料計算、手機/桌面顯示，再交付或發布。</x:v>
      </x:c>
      <x:c r="D8" s="98" t="str">
        <x:v>高</x:v>
      </x:c>
      <x:c r="E8" s="105" t="str">
        <x:v>每次輸出後</x:v>
      </x:c>
    </x:row>
  </x:sheetData>
  <x:pageMargins left="0.7" right="0.7" top="0.75" bottom="0.75" header="0.3" footer="0.3"/>
  <x:tableParts count="1">
    <x:tablePart xmlns:r="http://schemas.openxmlformats.org/officeDocument/2006/relationships" r:id="R6f709ccb4f0c42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6" hidden="0" customWidth="1"/>
  </x:cols>
  <x:sheetData>
    <x:row r="1" ht="15" hidden="0" customHeight="1">
      <x:c r="A1" s="122" t="str">
        <x:v>適用外掛</x:v>
      </x:c>
      <x:c r="B1" s="123" t="str">
        <x:v>可複用提示詞模板</x:v>
      </x:c>
    </x:row>
    <x:row r="2" ht="42" hidden="0" customHeight="1">
      <x:c r="A2" s="100" t="str">
        <x:v>HyperFrames</x:v>
      </x:c>
      <x:c r="B2" s="101" t="str">
        <x:v>請根據以下主題產出一支 9:16、約 30 秒的短片。目標觀眾是 [受眾]，風格是 [風格]，語言使用繁體中文。請包含每一幕畫面、字幕文案、轉場、音效/節奏建議，並輸出可生成影片的完整 prompt。</x:v>
      </x:c>
    </x:row>
    <x:row r="3" ht="42" hidden="0" customHeight="1">
      <x:c r="A3" s="102" t="str">
        <x:v>Canva</x:v>
      </x:c>
      <x:c r="B3" s="103" t="str">
        <x:v>請用我提供的人物圖與參考封面，設計一張 [平台/尺寸] 封面。主標是「[主標]」，副標是「[副標]」。風格參考 [參考圖特徵]，人物需去背，標題要大且易讀，請先給第一版並保留可調整連結。</x:v>
      </x:c>
    </x:row>
    <x:row r="4" ht="42" hidden="0" customHeight="1">
      <x:c r="A4" s="102" t="str">
        <x:v>Presentations</x:v>
      </x:c>
      <x:c r="B4" s="103" t="str">
        <x:v>我要做一份 [主題] 的 [頁數] 頁簡報。請先不要直接生成簡報，先幫我查資料、建立每頁架構，列出每頁主張、需要的數據、圖表形式、資料來源與設計建議，等我確認後再生成。</x:v>
      </x:c>
    </x:row>
    <x:row r="5" ht="42" hidden="0" customHeight="1">
      <x:c r="A5" s="102" t="str">
        <x:v>Spreadsheets</x:v>
      </x:c>
      <x:c r="B5" s="103" t="str">
        <x:v>以下是混亂的原始資料，請整理成表格，欄位包含 [欄位清單]。請統一日期/格式、補上合理分類、計算總額與比例，並建立一張適合閱讀的圖表。請保留可追溯的原始資料欄。</x:v>
      </x:c>
    </x:row>
    <x:row r="6" ht="42" hidden="0" customHeight="1">
      <x:c r="A6" s="102" t="str">
        <x:v>Computer Use / Chrome</x:v>
      </x:c>
      <x:c r="B6" s="103" t="str">
        <x:v>請幫我在 [網站/應用] 完成 [任務]。限制：不要處理密碼、付款或敏感資料；送出/發布前先停下來讓我確認。請逐步操作並在完成後回報你做了哪些事。</x:v>
      </x:c>
    </x:row>
    <x:row r="7" ht="42" hidden="0" customHeight="1">
      <x:c r="A7" s="102" t="str">
        <x:v>Product Design</x:v>
      </x:c>
      <x:c r="B7" s="103" t="str">
        <x:v>請為 [產品/網站/App] 設計 UI。目標用戶是 [受眾]，核心任務是 [任務]，參考風格是 [參考網站/截圖]。開始前先確認資訊架構、視覺方向、互動狀態與需要的素材。</x:v>
      </x:c>
    </x:row>
    <x:row r="8" ht="42" hidden="0" customHeight="1">
      <x:c r="A8" s="104" t="str">
        <x:v>Build Web/iOS/Android Apps</x:v>
      </x:c>
      <x:c r="B8" s="105" t="str">
        <x:v>請根據我選定的第 [編號] 個設計，製作一個 [Web/iOS/Android] 應用。必備功能包括 [功能清單]，需要支援 [互動/資料保存/圖表]。完成後請提供可測試版本並列出待修細節。</x:v>
      </x:c>
    </x:row>
  </x:sheetData>
  <x:pageMargins left="0.7" right="0.7" top="0.75" bottom="0.75" header="0.3" footer="0.3"/>
  <x:tableParts count="1">
    <x:tablePart xmlns:r="http://schemas.openxmlformats.org/officeDocument/2006/relationships" r:id="Rd3d88c3b8c1a44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2" hidden="0" customWidth="1"/>
  </x:cols>
  <x:sheetData>
    <x:row r="1" ht="15" hidden="0" customHeight="1">
      <x:c r="A1" s="113" t="str">
        <x:v>校正詞</x:v>
      </x:c>
      <x:c r="B1" s="115" t="str">
        <x:v>說明</x:v>
      </x:c>
    </x:row>
    <x:row r="2" ht="15" hidden="0" customHeight="1">
      <x:c r="A2" s="100" t="str">
        <x:v>HyperFrames</x:v>
      </x:c>
      <x:c r="B2" s="101" t="str">
        <x:v>轉錄曾出現 HypeFriends，依 Codex 外掛脈絡校正為 HyperFrames。</x:v>
      </x:c>
    </x:row>
    <x:row r="3" ht="15" hidden="0" customHeight="1">
      <x:c r="A3" s="102" t="str">
        <x:v>ChatGPT</x:v>
      </x:c>
      <x:c r="B3" s="103" t="str">
        <x:v>轉錄曾出現 GBT，語境為請 ChatGPT 協助撰寫 prompt。</x:v>
      </x:c>
    </x:row>
    <x:row r="4" ht="15" hidden="0" customHeight="1">
      <x:c r="A4" s="102" t="str">
        <x:v>生成</x:v>
      </x:c>
      <x:c r="B4" s="103" t="str">
        <x:v>轉錄多處出現「深層」，語境為 AI 生成內容。</x:v>
      </x:c>
    </x:row>
    <x:row r="5" ht="15" hidden="0" customHeight="1">
      <x:c r="A5" s="102" t="str">
        <x:v>程式碼</x:v>
      </x:c>
      <x:c r="B5" s="103" t="str">
        <x:v>轉錄曾出現「城市碼」，語境為不需要寫程式碼。</x:v>
      </x:c>
    </x:row>
    <x:row r="6" ht="15" hidden="0" customHeight="1">
      <x:c r="A6" s="102" t="str">
        <x:v>Computer Use / Chrome</x:v>
      </x:c>
      <x:c r="B6" s="103" t="str">
        <x:v>轉錄音近為 Compute to Use Crown，依段落內容推定為 Computer Use 與 Chrome 兩個操控類外掛。</x:v>
      </x:c>
    </x:row>
    <x:row r="7" ht="15" hidden="0" customHeight="1">
      <x:c r="A7" s="102" t="str">
        <x:v>Product Design</x:v>
      </x:c>
      <x:c r="B7" s="103" t="str">
        <x:v>轉錄曾出現 Perdad/Predactor Design，依 Codex 外掛名稱校正。</x:v>
      </x:c>
    </x:row>
    <x:row r="8" ht="24" hidden="0" customHeight="1">
      <x:c r="A8" s="104" t="str">
        <x:v>Build Web Apps / Build iOS Apps / Build Android Apps</x:v>
      </x:c>
      <x:c r="B8" s="105" t="str">
        <x:v>影片最後三個 App 建立外掛的名稱由語境推定；不同 Codex 版本可能顯示略有差異。</x:v>
      </x:c>
    </x:row>
    <x:row r="9" ht="15" hidden="0" customHeight="1">
      <x:c r="A9" s="78"/>
      <x:c r="B9" s="78"/>
    </x:row>
    <x:row r="10" ht="24" customHeight="1">
      <x:c r="A10" s="111" t="str">
        <x:v>來源：YouTube 影片頁面與音訊轉錄整理。
影片：https://www.youtube.com/watch?v=Yq0uiagY2J4
頻道：http://www.youtube.com/@77MediaBook
限制：原影片未提供字幕/自動字幕；本檔以語音轉錄後做摘要與名詞校正，非完整逐字稿。</x:v>
      </x:c>
      <x:c r="B10" s="111" t="str">
        <x:v>來源：YouTube 影片頁面與音訊轉錄整理。
影片：https://www.youtube.com/watch?v=Yq0uiagY2J4
頻道：http://www.youtube.com/@77MediaBook
限制：原影片未提供字幕/自動字幕；本檔以語音轉錄後做摘要與名詞校正，非完整逐字稿。</x:v>
      </x:c>
    </x:row>
    <x:row r="11" ht="24" customHeight="1">
      <x:c r="A11" s="111" t="str">
        <x:v>來源：YouTube 影片頁面與音訊轉錄整理。
影片：https://www.youtube.com/watch?v=Yq0uiagY2J4
頻道：http://www.youtube.com/@77MediaBook
限制：原影片未提供字幕/自動字幕；本檔以語音轉錄後做摘要與名詞校正，非完整逐字稿。</x:v>
      </x:c>
      <x:c r="B11" s="111" t="str">
        <x:v>來源：YouTube 影片頁面與音訊轉錄整理。
影片：https://www.youtube.com/watch?v=Yq0uiagY2J4
頻道：http://www.youtube.com/@77MediaBook
限制：原影片未提供字幕/自動字幕；本檔以語音轉錄後做摘要與名詞校正，非完整逐字稿。</x:v>
      </x:c>
    </x:row>
    <x:row r="12" ht="24" customHeight="1">
      <x:c r="A12" s="111" t="str">
        <x:v>來源：YouTube 影片頁面與音訊轉錄整理。
影片：https://www.youtube.com/watch?v=Yq0uiagY2J4
頻道：http://www.youtube.com/@77MediaBook
限制：原影片未提供字幕/自動字幕；本檔以語音轉錄後做摘要與名詞校正，非完整逐字稿。</x:v>
      </x:c>
      <x:c r="B12" s="111" t="str">
        <x:v>來源：YouTube 影片頁面與音訊轉錄整理。
影片：https://www.youtube.com/watch?v=Yq0uiagY2J4
頻道：http://www.youtube.com/@77MediaBook
限制：原影片未提供字幕/自動字幕；本檔以語音轉錄後做摘要與名詞校正，非完整逐字稿。</x:v>
      </x:c>
    </x:row>
    <x:row r="13" ht="24" customHeight="1">
      <x:c r="A13" s="111" t="str">
        <x:v>來源：YouTube 影片頁面與音訊轉錄整理。
影片：https://www.youtube.com/watch?v=Yq0uiagY2J4
頻道：http://www.youtube.com/@77MediaBook
限制：原影片未提供字幕/自動字幕；本檔以語音轉錄後做摘要與名詞校正，非完整逐字稿。</x:v>
      </x:c>
      <x:c r="B13" s="111" t="str">
        <x:v>來源：YouTube 影片頁面與音訊轉錄整理。
影片：https://www.youtube.com/watch?v=Yq0uiagY2J4
頻道：http://www.youtube.com/@77MediaBook
限制：原影片未提供字幕/自動字幕；本檔以語音轉錄後做摘要與名詞校正，非完整逐字稿。</x:v>
      </x:c>
    </x:row>
    <x:row r="14" ht="24" customHeight="1">
      <x:c r="A14" s="111" t="str">
        <x:v>來源：YouTube 影片頁面與音訊轉錄整理。
影片：https://www.youtube.com/watch?v=Yq0uiagY2J4
頻道：http://www.youtube.com/@77MediaBook
限制：原影片未提供字幕/自動字幕；本檔以語音轉錄後做摘要與名詞校正，非完整逐字稿。</x:v>
      </x:c>
      <x:c r="B14" s="111" t="str">
        <x:v>來源：YouTube 影片頁面與音訊轉錄整理。
影片：https://www.youtube.com/watch?v=Yq0uiagY2J4
頻道：http://www.youtube.com/@77MediaBook
限制：原影片未提供字幕/自動字幕；本檔以語音轉錄後做摘要與名詞校正，非完整逐字稿。</x:v>
      </x:c>
    </x:row>
  </x:sheetData>
  <x:mergeCells>
    <x:mergeCell ref="A10:B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2" hidden="0" customWidth="1"/>
  </x:cols>
  <x:sheetData>
    <x:row r="1" ht="15" hidden="0" customHeight="1">
      <x:c r="A1" s="116" t="str">
        <x:v>分類</x:v>
      </x:c>
      <x:c r="B1" s="117" t="str">
        <x:v>外掛數</x:v>
      </x:c>
      <x:c r="C1" s="118" t="str">
        <x:v>代表外掛</x:v>
      </x:c>
    </x:row>
    <x:row r="2" ht="15" hidden="0" customHeight="1">
      <x:c r="A2" s="100" t="str">
        <x:v>內容創作</x:v>
      </x:c>
      <x:c r="B2" s="92" t="n">
        <x:f>COUNTIF('外掛速查'!B2:B11,A2)</x:f>
        <x:v>2</x:v>
      </x:c>
      <x:c r="C2" s="101" t="str">
        <x:v>HyperFrames、Canva</x:v>
      </x:c>
    </x:row>
    <x:row r="3" ht="24" hidden="0" customHeight="1">
      <x:c r="A3" s="102" t="str">
        <x:v>辦公提效</x:v>
      </x:c>
      <x:c r="B3" s="95" t="n">
        <x:f>COUNTIF('外掛速查'!B3:B12,A3)</x:f>
        <x:v>4</x:v>
      </x:c>
      <x:c r="C3" s="103" t="str">
        <x:v>Presentations、Spreadsheets、Computer Use、Chrome</x:v>
      </x:c>
    </x:row>
    <x:row r="4" ht="15" hidden="0" customHeight="1">
      <x:c r="A4" s="104" t="str">
        <x:v>設計開發</x:v>
      </x:c>
      <x:c r="B4" s="98" t="n">
        <x:f>COUNTIF('外掛速查'!B4:B13,A4)</x:f>
        <x:v>4</x:v>
      </x:c>
      <x:c r="C4" s="105" t="str">
        <x:v>Product Design、Build Web/iOS/Android Apps</x:v>
      </x:c>
    </x:row>
  </x:sheetData>
  <x:pageMargins left="0.7" right="0.7" top="0.75" bottom="0.75" header="0.3" footer="0.3"/>
  <x:drawing xmlns:r="http://schemas.openxmlformats.org/officeDocument/2006/relationships" r:id="R9aff838e0db14f20"/>
  <x:tableParts count="1">
    <x:tablePart xmlns:r="http://schemas.openxmlformats.org/officeDocument/2006/relationships" r:id="R247c83c4b2334bb2"/>
  </x:tableParts>
</x:worksheet>
</file>